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<sst xmlns="http://schemas.openxmlformats.org/spreadsheetml/2006/main" count="62" uniqueCount="20">
  <si>
    <t>Property name</t>
  </si>
  <si>
    <t>Reservation Source</t>
  </si>
  <si>
    <t>Month</t>
  </si>
  <si>
    <t>INCOME GROSS EURO</t>
  </si>
  <si>
    <t>commission</t>
  </si>
  <si>
    <t>Total nigth per mounth</t>
  </si>
  <si>
    <t>Environmental Fee</t>
  </si>
  <si>
    <t>INCOME after fee</t>
  </si>
  <si>
    <t>VAT</t>
  </si>
  <si>
    <t>City TAX</t>
  </si>
  <si>
    <t>Management Fee</t>
  </si>
  <si>
    <t>Number of Orders</t>
  </si>
  <si>
    <t>Cleaning cost uncluding VAT</t>
  </si>
  <si>
    <t>Internet Charge</t>
  </si>
  <si>
    <t>Improvements / Faults</t>
  </si>
  <si>
    <t>Owner Payment</t>
  </si>
  <si>
    <t>AIRBNB</t>
  </si>
  <si>
    <t>TOTAL</t>
  </si>
  <si>
    <t>Booking</t>
  </si>
  <si>
    <t>TOTAL all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</si>
</sst>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B1mmm\-yy"/>
    <numFmt numFmtId="166" formatCode="_ * #,##0.00_ ;_ * \-#,##0.00_ ;_ * &quot;-&quot;??_ ;_ @_ "/>
    <numFmt numFmtId="167" formatCode="_ * #,##0_ ;_ * \-#,##0_ ;_ * &quot;-&quot;??_ ;_ @_ 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2" fillId="0" fontId="2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horizontal="center" vertical="bottom"/>
    </xf>
    <xf borderId="2" fillId="0" fontId="1" numFmtId="166" xfId="0" applyAlignment="1" applyBorder="1" applyFont="1" applyNumberFormat="1">
      <alignment vertical="bottom"/>
    </xf>
    <xf borderId="2" fillId="0" fontId="1" numFmtId="166" xfId="0" applyAlignment="1" applyBorder="1" applyFont="1" applyNumberFormat="1">
      <alignment horizontal="right" vertical="bottom"/>
    </xf>
    <xf borderId="2" fillId="0" fontId="1" numFmtId="167" xfId="0" applyAlignment="1" applyBorder="1" applyFont="1" applyNumberFormat="1">
      <alignment horizontal="right" vertical="bottom"/>
    </xf>
    <xf borderId="2" fillId="2" fontId="1" numFmtId="166" xfId="0" applyAlignment="1" applyBorder="1" applyFont="1" applyNumberFormat="1">
      <alignment horizontal="right" vertical="bottom"/>
    </xf>
    <xf borderId="2" fillId="0" fontId="1" numFmtId="167" xfId="0" applyAlignment="1" applyBorder="1" applyFont="1" applyNumberFormat="1">
      <alignment vertical="bottom"/>
    </xf>
    <xf borderId="2" fillId="0" fontId="1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center" vertical="bottom"/>
    </xf>
    <xf borderId="2" fillId="0" fontId="2" numFmtId="166" xfId="0" applyAlignment="1" applyBorder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3" fillId="4" fontId="1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4" fontId="1" numFmtId="0" xfId="0" applyBorder="1" applyFont="1"/>
    <xf borderId="7" fillId="4" fontId="2" numFmtId="166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4">
        <v>8.0</v>
      </c>
      <c r="H3" s="1"/>
      <c r="I3" s="5">
        <v>0.13</v>
      </c>
      <c r="J3" s="6">
        <v>0.005</v>
      </c>
      <c r="K3" s="5">
        <v>0.2</v>
      </c>
      <c r="L3" s="1"/>
      <c r="M3" s="4">
        <v>35.0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1</v>
      </c>
      <c r="B4" s="7" t="s">
        <v>2</v>
      </c>
      <c r="C4" s="8" t="s">
        <v>3</v>
      </c>
      <c r="D4" s="9" t="s">
        <v>4</v>
      </c>
      <c r="E4" s="10" t="s">
        <v>3</v>
      </c>
      <c r="F4" s="8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8" t="s">
        <v>11</v>
      </c>
      <c r="M4" s="10" t="s">
        <v>12</v>
      </c>
      <c r="N4" s="10" t="s">
        <v>13</v>
      </c>
      <c r="O4" s="10" t="s">
        <v>14</v>
      </c>
      <c r="P4" s="11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2" t="s">
        <v>16</v>
      </c>
      <c r="B5" s="13">
        <v>45658.0</v>
      </c>
      <c r="C5" s="14"/>
      <c r="D5" s="14"/>
      <c r="E5" s="15">
        <f t="shared" ref="E5:E16" si="1">C5-D5</f>
        <v>0</v>
      </c>
      <c r="F5" s="12"/>
      <c r="G5" s="16">
        <f t="shared" ref="G5:G6" si="2">$G$3*F5</f>
        <v>0</v>
      </c>
      <c r="H5" s="15">
        <f t="shared" ref="H5:H16" si="3">E5-G5</f>
        <v>0</v>
      </c>
      <c r="I5" s="15">
        <f t="shared" ref="I5:I16" si="4">H5*$I$3</f>
        <v>0</v>
      </c>
      <c r="J5" s="15">
        <f t="shared" ref="J5:J16" si="5">H5*$J$3</f>
        <v>0</v>
      </c>
      <c r="K5" s="15">
        <f>(E5-M5)*$K$3</f>
        <v>0</v>
      </c>
      <c r="L5" s="12"/>
      <c r="M5" s="16">
        <f>L5*$M$3</f>
        <v>0</v>
      </c>
      <c r="N5" s="12"/>
      <c r="O5" s="12"/>
      <c r="P5" s="17">
        <f t="shared" ref="P5:P16" si="6">H5-I5-J5-K5-M5-N5-O5</f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2" t="s">
        <v>16</v>
      </c>
      <c r="B6" s="13">
        <v>45689.0</v>
      </c>
      <c r="C6" s="14"/>
      <c r="D6" s="14"/>
      <c r="E6" s="15">
        <f t="shared" si="1"/>
        <v>0</v>
      </c>
      <c r="F6" s="12"/>
      <c r="G6" s="16">
        <f t="shared" si="2"/>
        <v>0</v>
      </c>
      <c r="H6" s="15">
        <f t="shared" si="3"/>
        <v>0</v>
      </c>
      <c r="I6" s="15">
        <f t="shared" si="4"/>
        <v>0</v>
      </c>
      <c r="J6" s="15">
        <f t="shared" si="5"/>
        <v>0</v>
      </c>
      <c r="K6" s="14"/>
      <c r="L6" s="12"/>
      <c r="M6" s="18"/>
      <c r="N6" s="12"/>
      <c r="O6" s="12"/>
      <c r="P6" s="17">
        <f t="shared" si="6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2" t="s">
        <v>16</v>
      </c>
      <c r="B7" s="13">
        <v>45717.0</v>
      </c>
      <c r="C7" s="14"/>
      <c r="D7" s="14"/>
      <c r="E7" s="15">
        <f t="shared" si="1"/>
        <v>0</v>
      </c>
      <c r="F7" s="18"/>
      <c r="G7" s="18"/>
      <c r="H7" s="15">
        <f t="shared" si="3"/>
        <v>0</v>
      </c>
      <c r="I7" s="15">
        <f t="shared" si="4"/>
        <v>0</v>
      </c>
      <c r="J7" s="15">
        <f t="shared" si="5"/>
        <v>0</v>
      </c>
      <c r="K7" s="14"/>
      <c r="L7" s="12"/>
      <c r="M7" s="16">
        <f t="shared" ref="M7:M16" si="7">L7*$M$3</f>
        <v>0</v>
      </c>
      <c r="N7" s="12"/>
      <c r="O7" s="12"/>
      <c r="P7" s="17">
        <f t="shared" si="6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16</v>
      </c>
      <c r="B8" s="13">
        <v>45748.0</v>
      </c>
      <c r="C8" s="14"/>
      <c r="D8" s="14"/>
      <c r="E8" s="15">
        <f t="shared" si="1"/>
        <v>0</v>
      </c>
      <c r="F8" s="18"/>
      <c r="G8" s="16">
        <f t="shared" ref="G8:G16" si="8">$G$3*F8</f>
        <v>0</v>
      </c>
      <c r="H8" s="15">
        <f t="shared" si="3"/>
        <v>0</v>
      </c>
      <c r="I8" s="15">
        <f t="shared" si="4"/>
        <v>0</v>
      </c>
      <c r="J8" s="15">
        <f t="shared" si="5"/>
        <v>0</v>
      </c>
      <c r="K8" s="14"/>
      <c r="L8" s="12"/>
      <c r="M8" s="16">
        <f t="shared" si="7"/>
        <v>0</v>
      </c>
      <c r="N8" s="12"/>
      <c r="O8" s="12"/>
      <c r="P8" s="17">
        <f t="shared" si="6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2" t="s">
        <v>16</v>
      </c>
      <c r="B9" s="13">
        <v>45778.0</v>
      </c>
      <c r="C9" s="14"/>
      <c r="D9" s="14"/>
      <c r="E9" s="15">
        <f t="shared" si="1"/>
        <v>0</v>
      </c>
      <c r="F9" s="18"/>
      <c r="G9" s="16">
        <f t="shared" si="8"/>
        <v>0</v>
      </c>
      <c r="H9" s="15">
        <f t="shared" si="3"/>
        <v>0</v>
      </c>
      <c r="I9" s="15">
        <f t="shared" si="4"/>
        <v>0</v>
      </c>
      <c r="J9" s="15">
        <f t="shared" si="5"/>
        <v>0</v>
      </c>
      <c r="K9" s="14"/>
      <c r="L9" s="12"/>
      <c r="M9" s="16">
        <f t="shared" si="7"/>
        <v>0</v>
      </c>
      <c r="N9" s="12"/>
      <c r="O9" s="12"/>
      <c r="P9" s="17">
        <f t="shared" si="6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2" t="s">
        <v>16</v>
      </c>
      <c r="B10" s="13">
        <v>45809.0</v>
      </c>
      <c r="C10" s="15">
        <v>2432.0</v>
      </c>
      <c r="D10" s="15">
        <v>396.97</v>
      </c>
      <c r="E10" s="15">
        <f t="shared" si="1"/>
        <v>2035.03</v>
      </c>
      <c r="F10" s="16">
        <v>26.0</v>
      </c>
      <c r="G10" s="16">
        <f t="shared" si="8"/>
        <v>208</v>
      </c>
      <c r="H10" s="15">
        <f t="shared" si="3"/>
        <v>1827.03</v>
      </c>
      <c r="I10" s="15">
        <f t="shared" si="4"/>
        <v>237.5139</v>
      </c>
      <c r="J10" s="15">
        <f t="shared" si="5"/>
        <v>9.13515</v>
      </c>
      <c r="K10" s="15">
        <f t="shared" ref="K10:K17" si="9">(E10-M10)*$K$3</f>
        <v>358.006</v>
      </c>
      <c r="L10" s="19">
        <v>7.0</v>
      </c>
      <c r="M10" s="16">
        <f t="shared" si="7"/>
        <v>245</v>
      </c>
      <c r="N10" s="19">
        <v>28.9</v>
      </c>
      <c r="O10" s="12"/>
      <c r="P10" s="17">
        <f t="shared" si="6"/>
        <v>948.47495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2" t="s">
        <v>16</v>
      </c>
      <c r="B11" s="13">
        <v>45839.0</v>
      </c>
      <c r="C11" s="14"/>
      <c r="D11" s="14"/>
      <c r="E11" s="15">
        <f t="shared" si="1"/>
        <v>0</v>
      </c>
      <c r="F11" s="18"/>
      <c r="G11" s="16">
        <f t="shared" si="8"/>
        <v>0</v>
      </c>
      <c r="H11" s="15">
        <f t="shared" si="3"/>
        <v>0</v>
      </c>
      <c r="I11" s="15">
        <f t="shared" si="4"/>
        <v>0</v>
      </c>
      <c r="J11" s="15">
        <f t="shared" si="5"/>
        <v>0</v>
      </c>
      <c r="K11" s="15">
        <f t="shared" si="9"/>
        <v>0</v>
      </c>
      <c r="L11" s="12"/>
      <c r="M11" s="16">
        <f t="shared" si="7"/>
        <v>0</v>
      </c>
      <c r="N11" s="12"/>
      <c r="O11" s="12"/>
      <c r="P11" s="17">
        <f t="shared" si="6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" t="s">
        <v>16</v>
      </c>
      <c r="B12" s="13">
        <v>45870.0</v>
      </c>
      <c r="C12" s="14"/>
      <c r="D12" s="14"/>
      <c r="E12" s="15">
        <f t="shared" si="1"/>
        <v>0</v>
      </c>
      <c r="F12" s="18"/>
      <c r="G12" s="16">
        <f t="shared" si="8"/>
        <v>0</v>
      </c>
      <c r="H12" s="15">
        <f t="shared" si="3"/>
        <v>0</v>
      </c>
      <c r="I12" s="15">
        <f t="shared" si="4"/>
        <v>0</v>
      </c>
      <c r="J12" s="15">
        <f t="shared" si="5"/>
        <v>0</v>
      </c>
      <c r="K12" s="15">
        <f t="shared" si="9"/>
        <v>0</v>
      </c>
      <c r="L12" s="12"/>
      <c r="M12" s="16">
        <f t="shared" si="7"/>
        <v>0</v>
      </c>
      <c r="N12" s="12"/>
      <c r="O12" s="12"/>
      <c r="P12" s="17">
        <f t="shared" si="6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2" t="s">
        <v>16</v>
      </c>
      <c r="B13" s="13">
        <v>45901.0</v>
      </c>
      <c r="C13" s="14"/>
      <c r="D13" s="14"/>
      <c r="E13" s="15">
        <f t="shared" si="1"/>
        <v>0</v>
      </c>
      <c r="F13" s="18"/>
      <c r="G13" s="16">
        <f t="shared" si="8"/>
        <v>0</v>
      </c>
      <c r="H13" s="15">
        <f t="shared" si="3"/>
        <v>0</v>
      </c>
      <c r="I13" s="15">
        <f t="shared" si="4"/>
        <v>0</v>
      </c>
      <c r="J13" s="15">
        <f t="shared" si="5"/>
        <v>0</v>
      </c>
      <c r="K13" s="15">
        <f t="shared" si="9"/>
        <v>0</v>
      </c>
      <c r="L13" s="12"/>
      <c r="M13" s="16">
        <f t="shared" si="7"/>
        <v>0</v>
      </c>
      <c r="N13" s="12"/>
      <c r="O13" s="12"/>
      <c r="P13" s="17">
        <f t="shared" si="6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2" t="s">
        <v>16</v>
      </c>
      <c r="B14" s="13">
        <v>45931.0</v>
      </c>
      <c r="C14" s="14"/>
      <c r="D14" s="14"/>
      <c r="E14" s="15">
        <f t="shared" si="1"/>
        <v>0</v>
      </c>
      <c r="F14" s="18"/>
      <c r="G14" s="16">
        <f t="shared" si="8"/>
        <v>0</v>
      </c>
      <c r="H14" s="15">
        <f t="shared" si="3"/>
        <v>0</v>
      </c>
      <c r="I14" s="15">
        <f t="shared" si="4"/>
        <v>0</v>
      </c>
      <c r="J14" s="15">
        <f t="shared" si="5"/>
        <v>0</v>
      </c>
      <c r="K14" s="15">
        <f t="shared" si="9"/>
        <v>0</v>
      </c>
      <c r="L14" s="12"/>
      <c r="M14" s="16">
        <f t="shared" si="7"/>
        <v>0</v>
      </c>
      <c r="N14" s="12"/>
      <c r="O14" s="12"/>
      <c r="P14" s="17">
        <f t="shared" si="6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2" t="s">
        <v>16</v>
      </c>
      <c r="B15" s="13">
        <v>45962.0</v>
      </c>
      <c r="C15" s="14"/>
      <c r="D15" s="14"/>
      <c r="E15" s="15">
        <f t="shared" si="1"/>
        <v>0</v>
      </c>
      <c r="F15" s="18"/>
      <c r="G15" s="16">
        <f t="shared" si="8"/>
        <v>0</v>
      </c>
      <c r="H15" s="15">
        <f t="shared" si="3"/>
        <v>0</v>
      </c>
      <c r="I15" s="15">
        <f t="shared" si="4"/>
        <v>0</v>
      </c>
      <c r="J15" s="15">
        <f t="shared" si="5"/>
        <v>0</v>
      </c>
      <c r="K15" s="15">
        <f t="shared" si="9"/>
        <v>0</v>
      </c>
      <c r="L15" s="12"/>
      <c r="M15" s="16">
        <f t="shared" si="7"/>
        <v>0</v>
      </c>
      <c r="N15" s="12"/>
      <c r="O15" s="12"/>
      <c r="P15" s="17">
        <f t="shared" si="6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2" t="s">
        <v>16</v>
      </c>
      <c r="B16" s="13">
        <v>45992.0</v>
      </c>
      <c r="C16" s="14"/>
      <c r="D16" s="14"/>
      <c r="E16" s="15">
        <f t="shared" si="1"/>
        <v>0</v>
      </c>
      <c r="F16" s="18"/>
      <c r="G16" s="16">
        <f t="shared" si="8"/>
        <v>0</v>
      </c>
      <c r="H16" s="15">
        <f t="shared" si="3"/>
        <v>0</v>
      </c>
      <c r="I16" s="15">
        <f t="shared" si="4"/>
        <v>0</v>
      </c>
      <c r="J16" s="15">
        <f t="shared" si="5"/>
        <v>0</v>
      </c>
      <c r="K16" s="15">
        <f t="shared" si="9"/>
        <v>0</v>
      </c>
      <c r="L16" s="12"/>
      <c r="M16" s="16">
        <f t="shared" si="7"/>
        <v>0</v>
      </c>
      <c r="N16" s="12"/>
      <c r="O16" s="12"/>
      <c r="P16" s="17">
        <f t="shared" si="6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2" t="s">
        <v>16</v>
      </c>
      <c r="B17" s="20" t="s">
        <v>17</v>
      </c>
      <c r="C17" s="21">
        <f t="shared" ref="C17:J17" si="10">SUM(C5:C16)</f>
        <v>2432</v>
      </c>
      <c r="D17" s="21">
        <f t="shared" si="10"/>
        <v>396.97</v>
      </c>
      <c r="E17" s="21">
        <f t="shared" si="10"/>
        <v>2035.03</v>
      </c>
      <c r="F17" s="21">
        <f t="shared" si="10"/>
        <v>26</v>
      </c>
      <c r="G17" s="21">
        <f t="shared" si="10"/>
        <v>208</v>
      </c>
      <c r="H17" s="21">
        <f t="shared" si="10"/>
        <v>1827.03</v>
      </c>
      <c r="I17" s="21">
        <f t="shared" si="10"/>
        <v>237.5139</v>
      </c>
      <c r="J17" s="21">
        <f t="shared" si="10"/>
        <v>9.13515</v>
      </c>
      <c r="K17" s="15">
        <f t="shared" si="9"/>
        <v>358.006</v>
      </c>
      <c r="L17" s="21">
        <f t="shared" ref="L17:N17" si="11">SUM(L5:L16)</f>
        <v>7</v>
      </c>
      <c r="M17" s="21">
        <f t="shared" si="11"/>
        <v>245</v>
      </c>
      <c r="N17" s="21">
        <f t="shared" si="11"/>
        <v>28.9</v>
      </c>
      <c r="O17" s="14"/>
      <c r="P17" s="17">
        <f>SUM(P5:P16)</f>
        <v>948.47495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5">
        <v>0.15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1</v>
      </c>
      <c r="B20" s="7" t="s">
        <v>2</v>
      </c>
      <c r="C20" s="8" t="s">
        <v>3</v>
      </c>
      <c r="D20" s="9" t="s">
        <v>4</v>
      </c>
      <c r="E20" s="10" t="s">
        <v>3</v>
      </c>
      <c r="F20" s="8" t="s">
        <v>5</v>
      </c>
      <c r="G20" s="10" t="s">
        <v>6</v>
      </c>
      <c r="H20" s="10" t="s">
        <v>7</v>
      </c>
      <c r="I20" s="10" t="s">
        <v>8</v>
      </c>
      <c r="J20" s="10" t="s">
        <v>9</v>
      </c>
      <c r="K20" s="10" t="s">
        <v>10</v>
      </c>
      <c r="L20" s="8" t="s">
        <v>11</v>
      </c>
      <c r="M20" s="10" t="s">
        <v>12</v>
      </c>
      <c r="N20" s="10" t="s">
        <v>13</v>
      </c>
      <c r="O20" s="10" t="s">
        <v>14</v>
      </c>
      <c r="P20" s="11" t="s">
        <v>15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2" t="s">
        <v>18</v>
      </c>
      <c r="B21" s="13">
        <v>45658.0</v>
      </c>
      <c r="C21" s="14"/>
      <c r="D21" s="15">
        <f t="shared" ref="D21:D32" si="12">C21*$D$19</f>
        <v>0</v>
      </c>
      <c r="E21" s="15">
        <f t="shared" ref="E21:E32" si="13">C21-D21</f>
        <v>0</v>
      </c>
      <c r="F21" s="12"/>
      <c r="G21" s="16">
        <f t="shared" ref="G21:G32" si="14">$G$3*F21</f>
        <v>0</v>
      </c>
      <c r="H21" s="15">
        <f t="shared" ref="H21:H32" si="15">E21-G21</f>
        <v>0</v>
      </c>
      <c r="I21" s="15">
        <f t="shared" ref="I21:I32" si="16">H21*$I$3</f>
        <v>0</v>
      </c>
      <c r="J21" s="15">
        <f t="shared" ref="J21:J32" si="17">H21*$J$3</f>
        <v>0</v>
      </c>
      <c r="K21" s="15">
        <f t="shared" ref="K21:K33" si="18">(E21-M21)*$K$3</f>
        <v>0</v>
      </c>
      <c r="L21" s="12"/>
      <c r="M21" s="16">
        <f t="shared" ref="M21:M32" si="19">L21*$M$3</f>
        <v>0</v>
      </c>
      <c r="N21" s="15">
        <v>0.0</v>
      </c>
      <c r="O21" s="14"/>
      <c r="P21" s="17">
        <f t="shared" ref="P21:P32" si="20">H21-I21-J21-K21-M21-N21-O21</f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2" t="s">
        <v>18</v>
      </c>
      <c r="B22" s="13">
        <v>45689.0</v>
      </c>
      <c r="C22" s="14"/>
      <c r="D22" s="15">
        <f t="shared" si="12"/>
        <v>0</v>
      </c>
      <c r="E22" s="15">
        <f t="shared" si="13"/>
        <v>0</v>
      </c>
      <c r="F22" s="12"/>
      <c r="G22" s="16">
        <f t="shared" si="14"/>
        <v>0</v>
      </c>
      <c r="H22" s="15">
        <f t="shared" si="15"/>
        <v>0</v>
      </c>
      <c r="I22" s="15">
        <f t="shared" si="16"/>
        <v>0</v>
      </c>
      <c r="J22" s="15">
        <f t="shared" si="17"/>
        <v>0</v>
      </c>
      <c r="K22" s="15">
        <f t="shared" si="18"/>
        <v>0</v>
      </c>
      <c r="L22" s="12"/>
      <c r="M22" s="16">
        <f t="shared" si="19"/>
        <v>0</v>
      </c>
      <c r="N22" s="15">
        <v>0.0</v>
      </c>
      <c r="O22" s="14"/>
      <c r="P22" s="17">
        <f t="shared" si="20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2" t="s">
        <v>18</v>
      </c>
      <c r="B23" s="13">
        <v>45717.0</v>
      </c>
      <c r="C23" s="14"/>
      <c r="D23" s="15">
        <f t="shared" si="12"/>
        <v>0</v>
      </c>
      <c r="E23" s="15">
        <f t="shared" si="13"/>
        <v>0</v>
      </c>
      <c r="F23" s="18"/>
      <c r="G23" s="16">
        <f t="shared" si="14"/>
        <v>0</v>
      </c>
      <c r="H23" s="15">
        <f t="shared" si="15"/>
        <v>0</v>
      </c>
      <c r="I23" s="15">
        <f t="shared" si="16"/>
        <v>0</v>
      </c>
      <c r="J23" s="15">
        <f t="shared" si="17"/>
        <v>0</v>
      </c>
      <c r="K23" s="15">
        <f t="shared" si="18"/>
        <v>0</v>
      </c>
      <c r="L23" s="12"/>
      <c r="M23" s="16">
        <f t="shared" si="19"/>
        <v>0</v>
      </c>
      <c r="N23" s="15">
        <v>0.0</v>
      </c>
      <c r="O23" s="14"/>
      <c r="P23" s="17">
        <f t="shared" si="20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2" t="s">
        <v>18</v>
      </c>
      <c r="B24" s="13">
        <v>45748.0</v>
      </c>
      <c r="C24" s="14"/>
      <c r="D24" s="15">
        <f t="shared" si="12"/>
        <v>0</v>
      </c>
      <c r="E24" s="15">
        <f t="shared" si="13"/>
        <v>0</v>
      </c>
      <c r="F24" s="18"/>
      <c r="G24" s="16">
        <f t="shared" si="14"/>
        <v>0</v>
      </c>
      <c r="H24" s="15">
        <f t="shared" si="15"/>
        <v>0</v>
      </c>
      <c r="I24" s="15">
        <f t="shared" si="16"/>
        <v>0</v>
      </c>
      <c r="J24" s="15">
        <f t="shared" si="17"/>
        <v>0</v>
      </c>
      <c r="K24" s="15">
        <f t="shared" si="18"/>
        <v>0</v>
      </c>
      <c r="L24" s="12"/>
      <c r="M24" s="16">
        <f t="shared" si="19"/>
        <v>0</v>
      </c>
      <c r="N24" s="15">
        <v>0.0</v>
      </c>
      <c r="O24" s="14"/>
      <c r="P24" s="17">
        <f t="shared" si="20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2" t="s">
        <v>18</v>
      </c>
      <c r="B25" s="13">
        <v>45778.0</v>
      </c>
      <c r="C25" s="14"/>
      <c r="D25" s="15">
        <f t="shared" si="12"/>
        <v>0</v>
      </c>
      <c r="E25" s="15">
        <f t="shared" si="13"/>
        <v>0</v>
      </c>
      <c r="F25" s="18"/>
      <c r="G25" s="16">
        <f t="shared" si="14"/>
        <v>0</v>
      </c>
      <c r="H25" s="15">
        <f t="shared" si="15"/>
        <v>0</v>
      </c>
      <c r="I25" s="15">
        <f t="shared" si="16"/>
        <v>0</v>
      </c>
      <c r="J25" s="15">
        <f t="shared" si="17"/>
        <v>0</v>
      </c>
      <c r="K25" s="15">
        <f t="shared" si="18"/>
        <v>0</v>
      </c>
      <c r="L25" s="12"/>
      <c r="M25" s="16">
        <f t="shared" si="19"/>
        <v>0</v>
      </c>
      <c r="N25" s="15">
        <v>0.0</v>
      </c>
      <c r="O25" s="14"/>
      <c r="P25" s="17">
        <f t="shared" si="20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2" t="s">
        <v>18</v>
      </c>
      <c r="B26" s="13">
        <v>45809.0</v>
      </c>
      <c r="C26" s="14"/>
      <c r="D26" s="15">
        <f t="shared" si="12"/>
        <v>0</v>
      </c>
      <c r="E26" s="15">
        <f t="shared" si="13"/>
        <v>0</v>
      </c>
      <c r="F26" s="18"/>
      <c r="G26" s="16">
        <f t="shared" si="14"/>
        <v>0</v>
      </c>
      <c r="H26" s="15">
        <f t="shared" si="15"/>
        <v>0</v>
      </c>
      <c r="I26" s="15">
        <f t="shared" si="16"/>
        <v>0</v>
      </c>
      <c r="J26" s="15">
        <f t="shared" si="17"/>
        <v>0</v>
      </c>
      <c r="K26" s="15">
        <f t="shared" si="18"/>
        <v>0</v>
      </c>
      <c r="L26" s="12"/>
      <c r="M26" s="16">
        <f t="shared" si="19"/>
        <v>0</v>
      </c>
      <c r="N26" s="15">
        <v>0.0</v>
      </c>
      <c r="O26" s="14"/>
      <c r="P26" s="17">
        <f t="shared" si="20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2" t="s">
        <v>18</v>
      </c>
      <c r="B27" s="13">
        <v>45839.0</v>
      </c>
      <c r="C27" s="14"/>
      <c r="D27" s="15">
        <f t="shared" si="12"/>
        <v>0</v>
      </c>
      <c r="E27" s="15">
        <f t="shared" si="13"/>
        <v>0</v>
      </c>
      <c r="F27" s="18"/>
      <c r="G27" s="16">
        <f t="shared" si="14"/>
        <v>0</v>
      </c>
      <c r="H27" s="15">
        <f t="shared" si="15"/>
        <v>0</v>
      </c>
      <c r="I27" s="15">
        <f t="shared" si="16"/>
        <v>0</v>
      </c>
      <c r="J27" s="15">
        <f t="shared" si="17"/>
        <v>0</v>
      </c>
      <c r="K27" s="15">
        <f t="shared" si="18"/>
        <v>0</v>
      </c>
      <c r="L27" s="12"/>
      <c r="M27" s="16">
        <f t="shared" si="19"/>
        <v>0</v>
      </c>
      <c r="N27" s="15">
        <v>0.0</v>
      </c>
      <c r="O27" s="14"/>
      <c r="P27" s="17">
        <f t="shared" si="20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2" t="s">
        <v>18</v>
      </c>
      <c r="B28" s="13">
        <v>45870.0</v>
      </c>
      <c r="C28" s="14"/>
      <c r="D28" s="15">
        <f t="shared" si="12"/>
        <v>0</v>
      </c>
      <c r="E28" s="15">
        <f t="shared" si="13"/>
        <v>0</v>
      </c>
      <c r="F28" s="18"/>
      <c r="G28" s="16">
        <f t="shared" si="14"/>
        <v>0</v>
      </c>
      <c r="H28" s="15">
        <f t="shared" si="15"/>
        <v>0</v>
      </c>
      <c r="I28" s="15">
        <f t="shared" si="16"/>
        <v>0</v>
      </c>
      <c r="J28" s="15">
        <f t="shared" si="17"/>
        <v>0</v>
      </c>
      <c r="K28" s="15">
        <f t="shared" si="18"/>
        <v>0</v>
      </c>
      <c r="L28" s="12"/>
      <c r="M28" s="16">
        <f t="shared" si="19"/>
        <v>0</v>
      </c>
      <c r="N28" s="15">
        <v>0.0</v>
      </c>
      <c r="O28" s="14"/>
      <c r="P28" s="17">
        <f t="shared" si="20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2" t="s">
        <v>18</v>
      </c>
      <c r="B29" s="13">
        <v>45901.0</v>
      </c>
      <c r="C29" s="14"/>
      <c r="D29" s="15">
        <f t="shared" si="12"/>
        <v>0</v>
      </c>
      <c r="E29" s="15">
        <f t="shared" si="13"/>
        <v>0</v>
      </c>
      <c r="F29" s="18"/>
      <c r="G29" s="16">
        <f t="shared" si="14"/>
        <v>0</v>
      </c>
      <c r="H29" s="15">
        <f t="shared" si="15"/>
        <v>0</v>
      </c>
      <c r="I29" s="15">
        <f t="shared" si="16"/>
        <v>0</v>
      </c>
      <c r="J29" s="15">
        <f t="shared" si="17"/>
        <v>0</v>
      </c>
      <c r="K29" s="15">
        <f t="shared" si="18"/>
        <v>0</v>
      </c>
      <c r="L29" s="12"/>
      <c r="M29" s="16">
        <f t="shared" si="19"/>
        <v>0</v>
      </c>
      <c r="N29" s="15">
        <v>0.0</v>
      </c>
      <c r="O29" s="14"/>
      <c r="P29" s="17">
        <f t="shared" si="20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2" t="s">
        <v>18</v>
      </c>
      <c r="B30" s="13">
        <v>45931.0</v>
      </c>
      <c r="C30" s="14"/>
      <c r="D30" s="15">
        <f t="shared" si="12"/>
        <v>0</v>
      </c>
      <c r="E30" s="15">
        <f t="shared" si="13"/>
        <v>0</v>
      </c>
      <c r="F30" s="18"/>
      <c r="G30" s="16">
        <f t="shared" si="14"/>
        <v>0</v>
      </c>
      <c r="H30" s="15">
        <f t="shared" si="15"/>
        <v>0</v>
      </c>
      <c r="I30" s="15">
        <f t="shared" si="16"/>
        <v>0</v>
      </c>
      <c r="J30" s="15">
        <f t="shared" si="17"/>
        <v>0</v>
      </c>
      <c r="K30" s="15">
        <f t="shared" si="18"/>
        <v>0</v>
      </c>
      <c r="L30" s="12"/>
      <c r="M30" s="16">
        <f t="shared" si="19"/>
        <v>0</v>
      </c>
      <c r="N30" s="15">
        <v>0.0</v>
      </c>
      <c r="O30" s="14"/>
      <c r="P30" s="17">
        <f t="shared" si="20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2" t="s">
        <v>18</v>
      </c>
      <c r="B31" s="13">
        <v>45962.0</v>
      </c>
      <c r="C31" s="14"/>
      <c r="D31" s="15">
        <f t="shared" si="12"/>
        <v>0</v>
      </c>
      <c r="E31" s="15">
        <f t="shared" si="13"/>
        <v>0</v>
      </c>
      <c r="F31" s="18"/>
      <c r="G31" s="16">
        <f t="shared" si="14"/>
        <v>0</v>
      </c>
      <c r="H31" s="15">
        <f t="shared" si="15"/>
        <v>0</v>
      </c>
      <c r="I31" s="15">
        <f t="shared" si="16"/>
        <v>0</v>
      </c>
      <c r="J31" s="15">
        <f t="shared" si="17"/>
        <v>0</v>
      </c>
      <c r="K31" s="15">
        <f t="shared" si="18"/>
        <v>0</v>
      </c>
      <c r="L31" s="12"/>
      <c r="M31" s="16">
        <f t="shared" si="19"/>
        <v>0</v>
      </c>
      <c r="N31" s="15">
        <v>0.0</v>
      </c>
      <c r="O31" s="14"/>
      <c r="P31" s="17">
        <f t="shared" si="20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2" t="s">
        <v>18</v>
      </c>
      <c r="B32" s="13">
        <v>45992.0</v>
      </c>
      <c r="C32" s="14"/>
      <c r="D32" s="15">
        <f t="shared" si="12"/>
        <v>0</v>
      </c>
      <c r="E32" s="15">
        <f t="shared" si="13"/>
        <v>0</v>
      </c>
      <c r="F32" s="18"/>
      <c r="G32" s="16">
        <f t="shared" si="14"/>
        <v>0</v>
      </c>
      <c r="H32" s="15">
        <f t="shared" si="15"/>
        <v>0</v>
      </c>
      <c r="I32" s="15">
        <f t="shared" si="16"/>
        <v>0</v>
      </c>
      <c r="J32" s="15">
        <f t="shared" si="17"/>
        <v>0</v>
      </c>
      <c r="K32" s="15">
        <f t="shared" si="18"/>
        <v>0</v>
      </c>
      <c r="L32" s="12"/>
      <c r="M32" s="16">
        <f t="shared" si="19"/>
        <v>0</v>
      </c>
      <c r="N32" s="15">
        <v>0.0</v>
      </c>
      <c r="O32" s="14"/>
      <c r="P32" s="17">
        <f t="shared" si="20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2" t="s">
        <v>18</v>
      </c>
      <c r="B33" s="20" t="s">
        <v>17</v>
      </c>
      <c r="C33" s="21">
        <f t="shared" ref="C33:J33" si="21">SUM(C21:C32)</f>
        <v>0</v>
      </c>
      <c r="D33" s="21">
        <f t="shared" si="21"/>
        <v>0</v>
      </c>
      <c r="E33" s="21">
        <f t="shared" si="21"/>
        <v>0</v>
      </c>
      <c r="F33" s="21">
        <f t="shared" si="21"/>
        <v>0</v>
      </c>
      <c r="G33" s="21">
        <f t="shared" si="21"/>
        <v>0</v>
      </c>
      <c r="H33" s="21">
        <f t="shared" si="21"/>
        <v>0</v>
      </c>
      <c r="I33" s="21">
        <f t="shared" si="21"/>
        <v>0</v>
      </c>
      <c r="J33" s="21">
        <f t="shared" si="21"/>
        <v>0</v>
      </c>
      <c r="K33" s="15">
        <f t="shared" si="18"/>
        <v>0</v>
      </c>
      <c r="L33" s="21">
        <f t="shared" ref="L33:N33" si="22">SUM(L21:L32)</f>
        <v>0</v>
      </c>
      <c r="M33" s="21">
        <f t="shared" si="22"/>
        <v>0</v>
      </c>
      <c r="N33" s="21">
        <f t="shared" si="22"/>
        <v>0</v>
      </c>
      <c r="O33" s="14"/>
      <c r="P33" s="17">
        <f>SUM(P21:P32)</f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3" t="s">
        <v>19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26"/>
      <c r="P35" s="27">
        <f>P17+P33</f>
        <v>948.47495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5:N35"/>
  </mergeCells>
  <drawing r:id="rId1"/>
</worksheet>
</file>